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aiprakash\Downloads\"/>
    </mc:Choice>
  </mc:AlternateContent>
  <xr:revisionPtr revIDLastSave="0" documentId="8_{E3F87BD5-E5B7-4965-AE76-6519DCD5788C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Sheet2" sheetId="3" state="hidden" r:id="rId1"/>
    <sheet name="Dashboard" sheetId="10" r:id="rId2"/>
    <sheet name="pivot 1" sheetId="4" r:id="rId3"/>
    <sheet name="pivot 2" sheetId="6" r:id="rId4"/>
    <sheet name="pivot 3" sheetId="7" r:id="rId5"/>
    <sheet name="pivot 4" sheetId="8" r:id="rId6"/>
    <sheet name="pivot 5" sheetId="9" r:id="rId7"/>
    <sheet name="Data" sheetId="1" r:id="rId8"/>
  </sheets>
  <definedNames>
    <definedName name="_xlnm._FilterDatabase" localSheetId="7" hidden="1">Data!$A$1:$L$2001</definedName>
  </definedNames>
  <calcPr calcId="191029"/>
  <pivotCaches>
    <pivotCache cacheId="1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<sst xmlns="http://schemas.openxmlformats.org/spreadsheetml/2006/main" count="14115" uniqueCount="2054">
  <si>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</si>
  <si>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</si>
  <si>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</si>
  <si>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</si>
  <si>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</si>
  <si>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</si>
  <si>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</si>
  <si>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</si>
  <si>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</si>
  <si>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</si>
  <si>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</si>
  <si>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</si>
  <si>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</si>
  <si>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</si>
  <si>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</si>
  <si>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</si>
  <si>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</si>
  <si>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</si>
  <si>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</si>
  <si>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</si>
  <si>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</si>
  <si>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</si>
  <si>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</si>
  <si>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</si>
  <si>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</si>
  <si>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</si>
  <si>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</si>
  <si>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</si>
  <si>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</si>
  <si>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</si>
  <si>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</si>
  <si>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</si>
  <si>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</si>
  <si>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</si>
  <si>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</si>
  <si>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</si>
  <si>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</si>
  <si>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</si>
  <si>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</si>
  <si>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</si>
  <si>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</si>
  <si>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</si>
  <si>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</si>
  <si>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</si>
  <si>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</si>
  <si>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</si>
  <si>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</si>
  <si>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</si>
  <si>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</si>
  <si>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</si>
  <si>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</si>
  <si>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</si>
  <si>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</si>
  <si>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</si>
  <si>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</si>
  <si>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</si>
  <si>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</si>
  <si>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</si>
  <si>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</si>
  <si>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</si>
  <si>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</si>
  <si>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</si>
  <si>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</si>
  <si>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</si>
  <si>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</si>
  <si>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</si>
  <si>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</si>
  <si>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</si>
  <si>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</si>
  <si>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</si>
  <si>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</si>
  <si>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</si>
  <si>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</si>
  <si>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</si>
  <si>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</si>
  <si>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</si>
  <si>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</si>
  <si>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</si>
  <si>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</si>
  <si>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</si>
  <si>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</si>
  <si>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</si>
  <si>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</si>
  <si>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</si>
  <si>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</si>
  <si>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</si>
  <si>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</si>
  <si>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</si>
  <si>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</si>
  <si>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</si>
  <si>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</si>
  <si>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</si>
  <si>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</si>
  <si>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</si>
  <si>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</si>
  <si>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</si>
  <si>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</si>
  <si>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</si>
  <si>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</si>
  <si>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</si>
  <si>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</si>
  <si>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</si>
  <si>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</si>
  <si>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</si>
  <si>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</si>
  <si>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</si>
  <si>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</si>
  <si>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</si>
  <si>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</si>
  <si>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</si>
  <si>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</si>
  <si>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</si>
  <si>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</si>
  <si>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</si>
  <si>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</si>
  <si>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</si>
  <si>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</si>
  <si>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</si>
  <si>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</si>
  <si>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</si>
  <si>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</si>
  <si>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</si>
  <si>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</si>
  <si>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</si>
  <si>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</si>
  <si>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</si>
  <si>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</si>
  <si>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</si>
  <si>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</si>
  <si>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</si>
  <si>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</si>
  <si>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</si>
  <si>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</si>
  <si>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</si>
  <si>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</si>
  <si>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</si>
  <si>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</si>
  <si>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</si>
  <si>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</si>
  <si>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</si>
  <si>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</si>
  <si>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</si>
  <si>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</si>
  <si>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</si>
  <si>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</si>
  <si>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</si>
  <si>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</si>
  <si>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</si>
  <si>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</si>
  <si>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</si>
  <si>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</si>
  <si>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</si>
  <si>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</si>
  <si>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</si>
  <si>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</si>
  <si>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</si>
  <si>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</si>
  <si>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</si>
  <si>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</si>
  <si>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</si>
  <si>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</si>
  <si>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</si>
  <si>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</si>
  <si>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</si>
  <si>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</si>
  <si>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</si>
  <si>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</si>
  <si>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</si>
  <si>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</si>
  <si>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</si>
  <si>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</si>
  <si>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</si>
  <si>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</si>
  <si>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</si>
  <si>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</si>
  <si>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</si>
  <si>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</si>
  <si>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</si>
  <si>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</si>
  <si>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</si>
  <si>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</si>
  <si>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</si>
  <si>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</si>
  <si>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</si>
  <si>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</si>
  <si>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</si>
  <si>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</si>
  <si>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</si>
  <si>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</si>
  <si>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</si>
  <si>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</si>
  <si>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</si>
  <si>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</si>
  <si>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</si>
  <si>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</si>
  <si>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</si>
  <si>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</si>
  <si>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</si>
  <si>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</si>
  <si>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</si>
  <si>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</si>
  <si>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</si>
  <si>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</si>
  <si>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</si>
  <si>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</si>
  <si>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</si>
  <si>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</si>
  <si>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</si>
  <si>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</si>
  <si>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</si>
  <si>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</si>
  <si>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</si>
  <si>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</si>
  <si>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</si>
  <si>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</si>
  <si>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</si>
  <si>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</si>
  <si>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</si>
  <si>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</si>
  <si>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</si>
  <si>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</si>
  <si>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</si>
  <si>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</si>
  <si>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</si>
  <si>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</si>
  <si>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</si>
  <si>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</si>
  <si>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</si>
  <si>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</si>
  <si>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</si>
  <si>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</si>
  <si>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</si>
  <si>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</si>
  <si>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</si>
  <si>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</si>
  <si>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</si>
  <si>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</si>
  <si>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</si>
  <si>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</si>
  <si>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</si>
  <si>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</si>
  <si>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</si>
  <si>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</si>
  <si>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</si>
  <si>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</si>
  <si>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</si>
  <si>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</si>
  <si>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</si>
  <si>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</si>
  <si>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</si>
  <si>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</si>
  <si>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</si>
  <si>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</si>
  <si>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</si>
  <si>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</si>
  <si>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</si>
  <si>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</si>
  <si>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</si>
  <si>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</si>
  <si>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</si>
  <si>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</si>
  <si>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</si>
  <si>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</si>
  <si>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</si>
  <si>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</si>
  <si>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</si>
  <si>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</si>
  <si>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</si>
  <si>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</si>
  <si>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</si>
  <si>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</si>
  <si>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</si>
  <si>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</si>
  <si>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</si>
  <si>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</si>
  <si>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</si>
  <si>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</si>
  <si>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</si>
  <si>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</si>
  <si>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</si>
  <si>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</si>
  <si>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</si>
  <si>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</si>
  <si>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</si>
  <si>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</si>
  <si>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</si>
  <si>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</si>
  <si>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</si>
  <si>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</si>
  <si>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</si>
  <si>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</si>
  <si>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</si>
  <si>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</si>
  <si>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</si>
  <si>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</si>
  <si>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</si>
  <si>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</si>
  <si>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</si>
  <si>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</si>
  <si>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</si>
  <si>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</si>
  <si>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</si>
  <si>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</si>
  <si>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</si>
  <si>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</si>
  <si>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</si>
  <si>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</si>
  <si>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</si>
  <si>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</si>
  <si>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</si>
  <si>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</si>
  <si>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</si>
  <si>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</si>
  <si>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</si>
  <si>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</si>
  <si>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</si>
  <si>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</si>
  <si>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</si>
  <si>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</si>
  <si>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</si>
  <si>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</si>
  <si>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</si>
  <si>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</si>
  <si>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</si>
  <si>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</si>
  <si>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</si>
  <si>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</si>
  <si>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</si>
  <si>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</si>
  <si>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</si>
  <si>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</si>
  <si>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</si>
  <si>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</si>
  <si>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</si>
  <si>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</si>
  <si>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</si>
  <si>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</si>
  <si>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</si>
  <si>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</si>
  <si>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</si>
  <si>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</si>
  <si>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</si>
  <si>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</si>
  <si>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</si>
  <si>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</si>
  <si>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</si>
  <si>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</si>
  <si>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</si>
  <si>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</si>
  <si>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</si>
  <si>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</si>
  <si>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</si>
  <si>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</si>
  <si>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</si>
  <si>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</si>
  <si>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</si>
  <si>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</si>
  <si>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</si>
  <si>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</si>
  <si>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</si>
  <si>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</si>
  <si>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</si>
  <si>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</si>
  <si>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</si>
  <si>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</si>
  <si>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</si>
  <si>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</si>
  <si>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</si>
  <si>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</si>
  <si>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</si>
  <si>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</si>
  <si>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</si>
  <si>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</si>
  <si>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</si>
  <si>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</si>
  <si>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</si>
  <si>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</si>
  <si>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</si>
  <si>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</si>
  <si>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</si>
  <si>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</si>
  <si>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</si>
  <si>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</si>
  <si>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</si>
  <si>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</si>
  <si>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</si>
  <si>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</si>
  <si>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</si>
  <si>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</si>
  <si>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</si>
  <si>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</si>
  <si>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</si>
  <si>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</si>
  <si>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</si>
  <si>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</si>
  <si>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</si>
  <si>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</si>
  <si>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</si>
  <si>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</si>
  <si>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</si>
  <si>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</si>
  <si>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</si>
  <si>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</si>
  <si>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</si>
  <si>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</si>
  <si>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</si>
  <si>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</si>
  <si>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</si>
  <si>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</si>
  <si>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</si>
  <si>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</si>
  <si>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</si>
  <si>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</si>
  <si>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</si>
  <si>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</si>
  <si>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</si>
  <si>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</si>
  <si>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</si>
  <si>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</si>
  <si>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</si>
  <si>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</si>
  <si>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</si>
  <si>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</si>
  <si>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</si>
  <si>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</si>
  <si>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</si>
  <si>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</si>
  <si>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</si>
  <si>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</si>
  <si>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</si>
  <si>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</si>
  <si>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</si>
  <si>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</si>
  <si>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</si>
  <si>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</si>
  <si>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</si>
  <si>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</si>
  <si>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</si>
  <si>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</si>
  <si>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</si>
  <si>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</si>
  <si>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</si>
  <si>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</si>
  <si>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</si>
  <si>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</si>
  <si>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</si>
  <si>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</si>
  <si>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</si>
  <si>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</si>
  <si>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</si>
  <si>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</si>
  <si>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</si>
  <si>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</si>
  <si>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</si>
  <si>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</si>
  <si>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</si>
  <si>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</si>
  <si>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</si>
  <si>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</si>
  <si>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</si>
  <si>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</si>
  <si>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</si>
  <si>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</si>
  <si>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</si>
  <si>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</si>
  <si>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</si>
  <si>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</si>
  <si>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</si>
  <si>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</si>
  <si>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</si>
  <si>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</si>
  <si>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</si>
  <si>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</si>
  <si>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</si>
  <si>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</si>
  <si>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</si>
  <si>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</si>
  <si>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</si>
  <si>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</si>
  <si>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</si>
  <si>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</si>
  <si>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</si>
  <si>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</si>
  <si>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</si>
  <si>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</si>
  <si>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</si>
  <si>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</si>
  <si>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</si>
  <si>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</si>
  <si>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</si>
  <si>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</si>
  <si>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</si>
  <si>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</si>
  <si>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</si>
  <si>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</si>
  <si>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</si>
  <si>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</si>
  <si>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</si>
  <si>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</si>
  <si>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</si>
  <si>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</si>
  <si>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</si>
  <si>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</si>
  <si>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</si>
  <si>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</si>
  <si>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</si>
  <si>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</si>
  <si>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</si>
  <si>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</si>
  <si>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</si>
  <si>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</si>
  <si>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</si>
  <si>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</si>
  <si>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</si>
  <si>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</si>
  <si>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</si>
  <si>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</si>
  <si>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</si>
  <si>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</si>
  <si>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</si>
  <si>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</si>
  <si>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</si>
  <si>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</si>
  <si>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</si>
  <si>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</si>
  <si>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</si>
  <si>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</si>
  <si>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</si>
  <si>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</si>
  <si>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</si>
  <si>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</si>
  <si>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</si>
  <si>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</si>
  <si>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</si>
  <si>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</si>
  <si>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</si>
  <si>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</si>
  <si>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</si>
  <si>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</si>
  <si>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</si>
  <si>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</si>
  <si>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</si>
  <si>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</si>
  <si>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</si>
  <si>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</si>
  <si>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</si>
  <si>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</si>
  <si>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</si>
  <si>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</si>
  <si>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</si>
  <si>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</si>
  <si>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</si>
  <si>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</si>
  <si>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</si>
  <si>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</si>
  <si>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</si>
  <si>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</si>
  <si>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</si>
  <si>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</si>
  <si>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</si>
  <si>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</si>
  <si>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</si>
  <si>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</si>
  <si>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</si>
  <si>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</si>
  <si>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</si>
  <si>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</si>
  <si>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</si>
  <si>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</si>
  <si>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</si>
  <si>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</si>
  <si>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</si>
  <si>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</si>
  <si>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</si>
  <si>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</si>
  <si>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</si>
  <si>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</si>
  <si>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</si>
  <si>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</si>
  <si>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</si>
  <si>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</si>
  <si>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</si>
  <si>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</si>
  <si>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</si>
  <si>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</si>
  <si>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</si>
  <si>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</si>
  <si>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</si>
  <si>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</si>
  <si>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</si>
  <si>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</si>
  <si>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</si>
  <si>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</si>
  <si>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</si>
  <si>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</si>
  <si>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</si>
  <si>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</si>
  <si>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</si>
  <si>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</si>
  <si>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</si>
  <si>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</si>
  <si>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</si>
  <si>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</si>
  <si>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</si>
  <si>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</si>
  <si>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</si>
  <si>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</si>
  <si>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</si>
  <si>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</si>
  <si>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</si>
  <si>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</si>
  <si>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</si>
  <si>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</si>
  <si>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</si>
  <si>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</si>
  <si>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</si>
  <si>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</si>
  <si>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</si>
  <si>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</si>
  <si>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</si>
  <si>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</si>
  <si>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</si>
  <si>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</si>
  <si>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</si>
  <si>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</si>
  <si>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</si>
  <si>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</si>
  <si>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</si>
  <si>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</si>
  <si>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</si>
  <si>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</si>
  <si>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</si>
  <si>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</si>
  <si>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</si>
  <si>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</si>
  <si>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</si>
  <si>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</si>
  <si>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</si>
  <si>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</si>
  <si>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</si>
  <si>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</si>
  <si>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</si>
  <si>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</si>
  <si>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</si>
  <si>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</si>
  <si>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</si>
  <si>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</si>
  <si>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</si>
  <si>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</si>
  <si>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</si>
  <si>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</si>
  <si>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</si>
  <si>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</si>
  <si>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</si>
  <si>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</si>
  <si>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</si>
  <si>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</si>
  <si>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</si>
  <si>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</si>
  <si>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</si>
  <si>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</si>
  <si>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</si>
  <si>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</si>
  <si>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</si>
  <si>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</si>
  <si>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</si>
  <si>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</si>
  <si>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</si>
  <si>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</si>
  <si>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</si>
  <si>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</si>
  <si>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</si>
  <si>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</si>
  <si>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</si>
  <si>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</si>
  <si>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</si>
  <si>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</si>
  <si>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</si>
  <si>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</si>
  <si>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</si>
  <si>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</si>
  <si>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</si>
  <si>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</si>
  <si>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</si>
  <si>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</si>
  <si>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</si>
  <si>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</si>
  <si>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</si>
  <si>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</si>
  <si>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</si>
  <si>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</si>
  <si>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</si>
  <si>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</si>
  <si>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</si>
  <si>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</si>
  <si>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</si>
  <si>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</si>
  <si>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</si>
  <si>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</si>
  <si>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</si>
  <si>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</si>
  <si>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</si>
  <si>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</si>
  <si>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</si>
  <si>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</si>
  <si>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</si>
  <si>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</si>
  <si>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</si>
  <si>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</si>
  <si>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</si>
  <si>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</si>
  <si>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</si>
  <si>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</si>
  <si>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</si>
  <si>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</si>
  <si>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</si>
  <si>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</si>
  <si>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</si>
  <si>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</si>
  <si>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</si>
  <si>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</si>
  <si>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</si>
  <si>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</si>
  <si>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</si>
  <si>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</si>
  <si>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</si>
  <si>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</si>
  <si>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</si>
  <si>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</si>
  <si>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</si>
  <si>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</si>
  <si>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</si>
  <si>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</si>
  <si>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</si>
  <si>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</si>
  <si>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</si>
  <si>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</si>
  <si>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</si>
  <si>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</si>
  <si>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</si>
  <si>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</si>
  <si>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</si>
  <si>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</si>
  <si>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</si>
  <si>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</si>
  <si>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</si>
  <si>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</si>
  <si>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</si>
  <si>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</si>
  <si>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</si>
  <si>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</si>
  <si>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</si>
  <si>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</si>
  <si>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</si>
  <si>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</si>
  <si>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</si>
  <si>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</si>
  <si>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</si>
  <si>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</si>
  <si>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</si>
  <si>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</si>
  <si>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</si>
  <si>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</si>
  <si>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</si>
  <si>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</si>
  <si>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</si>
  <si>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</si>
  <si>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</si>
  <si>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</si>
  <si>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</si>
  <si>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</si>
  <si>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</si>
  <si>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</si>
  <si>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</si>
  <si>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</si>
  <si>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</si>
  <si>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</si>
  <si>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</si>
  <si>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</si>
  <si>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</si>
  <si>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</si>
  <si>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</si>
  <si>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</si>
  <si>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</si>
  <si>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</si>
  <si>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</si>
  <si>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</si>
  <si>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</si>
  <si>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</si>
  <si>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</si>
  <si>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</si>
  <si>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</si>
  <si>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</si>
  <si>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</si>
  <si>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</si>
  <si>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</si>
  <si>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</si>
  <si>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</si>
  <si>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</si>
  <si>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</si>
  <si>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</si>
  <si>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</si>
  <si>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</si>
  <si>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</si>
  <si>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</si>
  <si>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</si>
  <si>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</si>
  <si>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</si>
  <si>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</si>
  <si>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</si>
  <si>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</si>
  <si>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</si>
  <si>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</si>
  <si>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</si>
  <si>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</si>
  <si>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</si>
  <si>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</si>
  <si>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</si>
  <si>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</si>
  <si>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</si>
  <si>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</si>
  <si>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</si>
  <si>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</si>
  <si>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</si>
  <si>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</si>
  <si>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</si>
  <si>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</si>
  <si>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</si>
  <si>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</si>
  <si>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</si>
  <si>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</si>
  <si>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</si>
  <si>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</si>
  <si>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</si>
  <si>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</si>
  <si>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</si>
  <si>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</si>
  <si>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</si>
  <si>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</si>
  <si>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</si>
  <si>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</si>
  <si>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</si>
  <si>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</si>
  <si>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</si>
  <si>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</si>
  <si>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</si>
  <si>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</si>
  <si>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</si>
  <si>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</si>
  <si>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</si>
  <si>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</si>
  <si>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</si>
  <si>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</si>
  <si>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</si>
  <si>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</si>
  <si>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</si>
  <si>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</si>
  <si>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</si>
  <si>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</si>
  <si>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</si>
  <si>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</si>
  <si>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</si>
  <si>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</si>
  <si>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</si>
  <si>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</si>
  <si>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</si>
  <si>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</si>
  <si>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</si>
  <si>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</si>
  <si>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</si>
  <si>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</si>
  <si>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</si>
  <si>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</si>
  <si>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</si>
  <si>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</si>
  <si>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</si>
  <si>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</si>
  <si>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</si>
  <si>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</si>
  <si>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</si>
  <si>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</si>
  <si>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</si>
  <si>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</si>
  <si>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</si>
  <si>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</si>
  <si>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</si>
  <si>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</si>
  <si>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</si>
  <si>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</si>
  <si>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</si>
  <si>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</si>
  <si>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</si>
  <si>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</si>
  <si>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</si>
  <si>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</si>
  <si>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</si>
  <si>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</si>
  <si>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</si>
  <si>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</si>
  <si>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</si>
  <si>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</si>
  <si>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</si>
  <si>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</si>
  <si>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</si>
  <si>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</si>
  <si>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</si>
  <si>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</si>
  <si>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</si>
  <si>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</si>
  <si>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</si>
  <si>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</si>
  <si>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</si>
  <si>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</si>
  <si>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</si>
  <si>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</si>
  <si>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</si>
  <si>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</si>
  <si>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</si>
  <si>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</si>
  <si>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</si>
  <si>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</si>
  <si>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</si>
  <si>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</si>
  <si>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</si>
  <si>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</si>
  <si>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</si>
  <si>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</si>
  <si>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</si>
  <si>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</si>
  <si>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</si>
  <si>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</si>
  <si>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</si>
  <si>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</si>
  <si>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</si>
  <si>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</si>
  <si>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</si>
  <si>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</si>
  <si>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</si>
  <si>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</si>
  <si>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</si>
  <si>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</si>
  <si>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</si>
  <si>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</si>
  <si>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</si>
  <si>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</si>
  <si>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</si>
  <si>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</si>
  <si>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</si>
  <si>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</si>
  <si>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</si>
  <si>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</si>
  <si>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</si>
  <si>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</si>
  <si>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</si>
  <si>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</si>
  <si>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</si>
  <si>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</si>
  <si>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</si>
  <si>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</si>
  <si>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</si>
  <si>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</si>
  <si>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</si>
  <si>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</si>
  <si>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</si>
  <si>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</si>
  <si>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</si>
  <si>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</si>
  <si>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</si>
  <si>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</si>
  <si>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</si>
  <si>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</si>
  <si>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</si>
  <si>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</si>
  <si>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</si>
  <si>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</si>
  <si>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</si>
  <si>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</si>
  <si>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</si>
  <si>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</si>
  <si>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</si>
  <si>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</si>
  <si>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</si>
  <si>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</si>
  <si>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</si>
  <si>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</si>
  <si>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</si>
  <si>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</si>
  <si>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</si>
  <si>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</si>
  <si>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</si>
  <si>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</si>
  <si>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</si>
  <si>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</si>
  <si>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</si>
  <si>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</si>
  <si>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</si>
  <si>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</si>
  <si>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</si>
  <si>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</si>
  <si>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</si>
  <si>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</si>
  <si>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</si>
  <si>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</si>
  <si>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</si>
  <si>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</si>
  <si>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</si>
  <si>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</si>
  <si>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</si>
  <si>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</si>
  <si>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</si>
  <si>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</si>
  <si>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</si>
  <si>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</si>
  <si>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</si>
  <si>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</si>
  <si>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</si>
  <si>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</si>
  <si>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</si>
  <si>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</si>
  <si>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</si>
  <si>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</si>
  <si>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</si>
  <si>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</si>
  <si>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</si>
  <si>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</si>
  <si>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</si>
  <si>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</si>
  <si>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</si>
  <si>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</si>
  <si>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</si>
  <si>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</si>
  <si>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</si>
  <si>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</si>
  <si>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</si>
  <si>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</si>
  <si>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</si>
  <si>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</si>
  <si>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</si>
  <si>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</si>
  <si>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</si>
  <si>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</si>
  <si>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</si>
  <si>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</si>
  <si>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</si>
  <si>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</si>
  <si>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</si>
  <si>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</si>
  <si>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</si>
  <si>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</si>
  <si>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</si>
  <si>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</si>
  <si>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</si>
  <si>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</si>
  <si>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</si>
  <si>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</si>
  <si>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</si>
  <si>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</si>
  <si>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</si>
  <si>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</si>
  <si>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</si>
  <si>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</si>
  <si>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</si>
  <si>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</si>
  <si>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</si>
  <si>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</si>
  <si>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</si>
  <si>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</si>
  <si>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</si>
  <si>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</si>
  <si>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</si>
  <si>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</si>
  <si>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</si>
  <si>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</si>
  <si>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</si>
  <si>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</si>
  <si>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</si>
  <si>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</si>
  <si>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</si>
  <si>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</si>
  <si>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</si>
  <si>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</si>
  <si>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</si>
  <si>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</si>
  <si>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</si>
  <si>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</si>
  <si>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</si>
  <si>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</si>
  <si>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</si>
  <si>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</si>
  <si>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</si>
  <si>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</si>
  <si>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</si>
  <si>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</si>
  <si>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</si>
  <si>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</si>
  <si>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</si>
  <si>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</si>
  <si>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</si>
  <si>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</si>
  <si>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</si>
  <si>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</si>
  <si>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</si>
  <si>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</si>
  <si>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</si>
  <si>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</si>
  <si>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</si>
  <si>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</si>
  <si>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</si>
  <si>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</si>
  <si>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</si>
  <si>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</si>
  <si>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</si>
  <si>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</si>
  <si>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</si>
  <si>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</si>
  <si>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</si>
  <si>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</si>
  <si>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</si>
  <si>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</si>
  <si>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</si>
  <si>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</si>
  <si>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</si>
  <si>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</si>
  <si>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</si>
  <si>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</si>
  <si>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</si>
  <si>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</si>
  <si>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</si>
  <si>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</si>
  <si>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</si>
  <si>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</si>
  <si>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</si>
  <si>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</si>
  <si>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</si>
  <si>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</si>
  <si>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</si>
  <si>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</si>
  <si>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</si>
  <si>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</si>
  <si>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</si>
  <si>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</si>
  <si>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</si>
  <si>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</si>
  <si>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</si>
  <si>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</si>
  <si>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</si>
  <si>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</si>
  <si>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</si>
  <si>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</si>
  <si>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</si>
  <si>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</si>
  <si>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</si>
  <si>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</si>
  <si>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</si>
  <si>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</si>
  <si>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</si>
  <si>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</si>
  <si>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</si>
  <si>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</si>
  <si>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</si>
  <si>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</si>
  <si>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</si>
  <si>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</si>
  <si>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</si>
  <si>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</si>
  <si>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</si>
  <si>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</si>
  <si>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</si>
  <si>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</si>
  <si>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</si>
  <si>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</si>
  <si>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</si>
  <si>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</si>
  <si>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</si>
  <si>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</si>
  <si>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</si>
  <si>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</si>
  <si>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</si>
  <si>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</si>
  <si>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</si>
  <si>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</si>
  <si>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</si>
  <si>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</si>
  <si>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</si>
  <si>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</si>
  <si>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</si>
  <si>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</si>
  <si>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</si>
  <si>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</si>
  <si>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</si>
  <si>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</si>
  <si>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</si>
  <si>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</si>
  <si>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</si>
  <si>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</si>
  <si>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</si>
  <si>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</si>
  <si>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</si>
  <si>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</si>
  <si>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</si>
  <si>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</si>
  <si>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</si>
  <si>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</si>
  <si>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</si>
  <si>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</si>
  <si>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</si>
  <si>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</si>
  <si>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</si>
  <si>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</si>
  <si>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</si>
  <si>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</si>
  <si>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</si>
  <si>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</si>
  <si>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</si>
  <si>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</si>
  <si>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</si>
  <si>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</si>
  <si>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</si>
  <si>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</si>
  <si>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</si>
  <si>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</si>
  <si>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</si>
  <si>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</si>
  <si>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</si>
  <si>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</si>
  <si>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</si>
  <si>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</si>
  <si>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</si>
  <si>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</si>
  <si>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</si>
  <si>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</si>
  <si>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</si>
  <si>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</si>
  <si>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</si>
  <si>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</si>
  <si>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</si>
  <si>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</si>
  <si>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</si>
  <si>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</si>
  <si>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</si>
  <si>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</si>
  <si>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</si>
  <si>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</si>
  <si>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</si>
  <si>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</si>
  <si>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</si>
  <si>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</si>
  <si>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</si>
  <si>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</si>
  <si>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</si>
  <si>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</si>
  <si>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</si>
  <si>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</si>
  <si>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</si>
  <si>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</si>
  <si>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</si>
  <si>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</si>
  <si>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</si>
  <si>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</si>
  <si>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</si>
  <si>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</si>
  <si>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</si>
  <si>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</si>
  <si>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</si>
  <si>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</si>
  <si>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</si>
  <si>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</si>
  <si>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</si>
  <si>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</si>
  <si>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</si>
  <si>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</si>
  <si>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</si>
  <si>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</si>
  <si>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</si>
  <si>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</si>
  <si>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</si>
  <si>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</si>
  <si>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</si>
  <si>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</si>
  <si>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</si>
  <si>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</si>
  <si>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</si>
  <si>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</si>
  <si>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</si>
  <si>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</si>
  <si>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</si>
  <si>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</si>
  <si>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</si>
  <si>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</si>
  <si>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</si>
  <si>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</si>
  <si>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</si>
  <si>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</si>
  <si>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</si>
  <si>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</si>
  <si>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</si>
  <si>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</si>
  <si>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</si>
  <si>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</si>
  <si>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</si>
  <si>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</si>
  <si>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</si>
  <si>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</si>
  <si>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</si>
  <si>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</si>
  <si>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</si>
  <si>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</si>
  <si>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</si>
  <si>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</si>
  <si>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</si>
  <si>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</si>
  <si>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</si>
  <si>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</si>
  <si>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</si>
  <si>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</si>
  <si>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</si>
  <si>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</si>
  <si>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</si>
  <si>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</si>
  <si>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</si>
  <si>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</si>
  <si>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</si>
  <si>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</si>
  <si>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</si>
  <si>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</si>
  <si>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</si>
  <si>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</si>
  <si>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</si>
  <si>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</si>
  <si>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</si>
  <si>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</si>
  <si>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</si>
  <si>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</si>
  <si>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</si>
  <si>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</si>
  <si>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</si>
  <si>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</si>
  <si>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</si>
  <si>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</si>
  <si>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</si>
  <si>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</si>
  <si>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</si>
  <si>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</si>
  <si>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</si>
  <si>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</si>
  <si>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</si>
  <si>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</si>
  <si>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</si>
  <si>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</si>
  <si>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</si>
  <si>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</si>
  <si>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</si>
  <si>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</si>
  <si>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</si>
  <si>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</si>
  <si>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</si>
  <si>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</si>
  <si>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</si>
  <si>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</si>
  <si>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</si>
  <si>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</si>
  <si>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</si>
  <si>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</si>
  <si>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</si>
  <si>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</si>
  <si>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</si>
  <si>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</si>
  <si>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</si>
  <si>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</si>
  <si>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</si>
  <si>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</si>
  <si>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</si>
  <si>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</si>
  <si>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</si>
  <si>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</si>
  <si>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</si>
  <si>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</si>
  <si>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</si>
  <si>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</si>
  <si>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</si>
  <si>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</si>
  <si>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</si>
  <si>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</si>
  <si>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</si>
  <si>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</si>
  <si>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</si>
  <si>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</si>
  <si>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</si>
  <si>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</si>
  <si>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</si>
  <si>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</si>
  <si>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</si>
  <si>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</si>
  <si>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</si>
  <si>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</si>
  <si>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</si>
  <si>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</si>
  <si>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</si>
  <si>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</si>
  <si>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</si>
  <si>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</si>
  <si>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</si>
  <si>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</si>
  <si>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</si>
  <si>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</si>
  <si>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</si>
  <si>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</si>
  <si>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</si>
  <si>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</si>
  <si>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</si>
  <si>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</si>
  <si>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</si>
  <si>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</si>
  <si>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</si>
  <si>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</si>
  <si>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</si>
  <si>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</si>
  <si>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</si>
  <si>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</si>
  <si>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</si>
  <si>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</si>
  <si>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</si>
  <si>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</si>
  <si>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</si>
  <si>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</si>
  <si>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</si>
  <si>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</si>
  <si>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</si>
  <si>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</si>
  <si>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</si>
  <si>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</si>
  <si>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</si>
  <si>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</si>
  <si>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</si>
  <si>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</si>
  <si>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</si>
  <si>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</si>
  <si>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</si>
  <si>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</si>
  <si>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</si>
  <si>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</si>
  <si>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</si>
  <si>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</si>
  <si>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</si>
  <si>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</si>
  <si>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</si>
  <si>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</si>
  <si>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</si>
  <si>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</si>
  <si>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</si>
  <si>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</si>
  <si>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</si>
  <si>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</si>
  <si>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</si>
  <si>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</si>
  <si>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</si>
  <si>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</si>
  <si>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</si>
  <si>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</si>
  <si>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</si>
  <si>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</si>
  <si>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</si>
  <si>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</si>
  <si>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</si>
  <si>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</si>
  <si>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</si>
  <si>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</si>
  <si>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</si>
  <si>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</si>
  <si>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</si>
  <si>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</si>
  <si>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</si>
  <si>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</si>
  <si>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</si>
  <si>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</si>
  <si>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</si>
  <si>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</si>
  <si>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</si>
  <si>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</si>
  <si>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</si>
  <si>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</si>
  <si>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</si>
  <si>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</si>
  <si>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</si>
  <si>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</si>
  <si>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</si>
  <si>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</si>
  <si>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</si>
  <si>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</si>
  <si>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</si>
  <si>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</si>
  <si>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</si>
  <si>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</si>
  <si>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</si>
  <si>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</si>
  <si>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</si>
  <si>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</si>
  <si>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</si>
  <si>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</si>
  <si>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</si>
  <si>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</si>
  <si>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</si>
  <si>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</si>
  <si>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</si>
  <si>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</si>
  <si>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</si>
  <si>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</si>
  <si>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</si>
  <si>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</si>
  <si>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</si>
  <si>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</si>
  <si>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</si>
  <si>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</si>
  <si>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</si>
  <si>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</si>
  <si>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</si>
  <si>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</si>
  <si>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</si>
  <si>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</si>
  <si>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</si>
  <si>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</si>
  <si>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</si>
  <si>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</si>
  <si>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</si>
  <si>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</si>
  <si>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</si>
  <si>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</si>
  <si>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</si>
  <si>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</si>
  <si>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</si>
  <si>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</si>
  <si>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</si>
  <si>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</si>
  <si>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</si>
  <si>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</si>
  <si>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</si>
  <si>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</si>
  <si>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</si>
  <si>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</si>
  <si>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</si>
  <si>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</si>
  <si>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</si>
  <si>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</si>
  <si>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</si>
  <si>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</si>
  <si>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</si>
  <si>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</si>
  <si>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</si>
  <si>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</si>
  <si>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</si>
  <si>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</si>
  <si>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</si>
  <si>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</si>
  <si>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</si>
  <si>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</si>
  <si>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</si>
  <si>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</si>
  <si>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</si>
  <si>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</si>
  <si>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</si>
  <si>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</si>
  <si>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</si>
  <si>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</si>
  <si>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</si>
  <si>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</si>
  <si>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</si>
  <si>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</si>
  <si>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</si>
  <si>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</si>
  <si>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</si>
  <si>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</si>
  <si>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</si>
  <si>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</si>
  <si>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</si>
  <si>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</si>
  <si>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</si>
  <si>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</si>
  <si>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</si>
  <si>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</si>
  <si>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</si>
  <si>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</si>
  <si>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</si>
  <si>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</si>
  <si>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</si>
  <si>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</si>
  <si>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</si>
  <si>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</si>
  <si>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</si>
  <si>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</si>
  <si>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</si>
  <si>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</si>
  <si>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</si>
  <si>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</si>
  <si>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</si>
  <si>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</si>
  <si>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</si>
  <si>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</si>
  <si>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</si>
  <si>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</si>
  <si>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</si>
  <si>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</si>
  <si>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</si>
  <si>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</si>
  <si>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</si>
  <si>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</si>
  <si>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</si>
  <si>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</si>
  <si>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</si>
  <si>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</si>
  <si>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</si>
  <si>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</si>
  <si>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</si>
  <si>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</si>
  <si>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</si>
  <si>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</si>
  <si>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</si>
  <si>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</si>
  <si>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</si>
  <si>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</si>
  <si>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</si>
  <si>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</si>
  <si>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</si>
  <si>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</si>
  <si>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</si>
  <si>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</si>
  <si>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</si>
  <si>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</si>
  <si>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</si>
  <si>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</si>
  <si>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</si>
  <si>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</si>
  <si>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</si>
  <si>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</si>
  <si>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</si>
  <si>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</si>
  <si>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</si>
  <si>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</si>
  <si>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</si>
  <si>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</si>
  <si>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</si>
  <si>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</si>
  <si>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</si>
  <si>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</si>
  <si>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</si>
  <si>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</si>
  <si>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</si>
  <si>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</si>
  <si>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</si>
  <si>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</si>
  <si>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</si>
  <si>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</si>
  <si>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</si>
  <si>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</si>
  <si>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</si>
  <si>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</si>
  <si>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</si>
  <si>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</si>
  <si>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</si>
  <si>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</si>
  <si>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</si>
  <si>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</si>
  <si>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</si>
  <si>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</si>
  <si>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</si>
  <si>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</si>
  <si>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</si>
  <si>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</si>
  <si>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</si>
  <si>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</si>
  <si>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</si>
  <si>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</si>
  <si>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</si>
  <si>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</si>
  <si>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</si>
  <si>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</si>
  <si>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</si>
  <si>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</si>
  <si>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</si>
  <si>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</si>
  <si>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</si>
  <si>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</si>
  <si>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</si>
  <si>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</si>
  <si>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</si>
  <si>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</si>
  <si>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</si>
  <si>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</si>
  <si>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</si>
  <si>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</si>
  <si>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</si>
  <si>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</si>
  <si>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</si>
  <si>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</si>
  <si>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</si>
  <si>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</si>
  <si>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</si>
  <si>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</si>
  <si>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</si>
  <si>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</si>
  <si>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</si>
  <si>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</si>
  <si>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</si>
  <si>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</si>
  <si>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</si>
  <si>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</si>
  <si>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</si>
  <si>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</si>
  <si>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</si>
  <si>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</si>
  <si>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</si>
  <si>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</si>
  <si>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</si>
  <si>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</si>
  <si>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</si>
  <si>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</si>
  <si>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</si>
  <si>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</si>
  <si>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</si>
  <si>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</si>
  <si>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</si>
  <si>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</si>
  <si>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</si>
  <si>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</si>
  <si>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</si>
  <si>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</si>
  <si>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</si>
  <si>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</si>
  <si>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</si>
  <si>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</si>
  <si>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</si>
  <si>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</si>
  <si>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</si>
  <si>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</si>
  <si>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</si>
  <si>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</si>
  <si>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</si>
  <si>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</si>
  <si>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</si>
  <si>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</si>
  <si>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</si>
  <si>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</si>
  <si>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</si>
  <si>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</si>
  <si>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</si>
  <si>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</si>
  <si>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</si>
  <si>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</si>
  <si>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</si>
  <si>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</si>
  <si>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</si>
  <si>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</si>
  <si>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</si>
  <si>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</si>
  <si>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</si>
  <si>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</si>
  <si>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</si>
  <si>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</si>
  <si>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</si>
  <si>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</si>
  <si>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</si>
  <si>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</si>
  <si>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</si>
  <si>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</si>
  <si>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</si>
  <si>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</si>
  <si>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</si>
  <si>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</si>
  <si>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</si>
  <si>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</si>
  <si>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</si>
  <si>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</si>
  <si>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</si>
  <si>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</si>
  <si>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</si>
  <si>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</si>
  <si>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</si>
  <si>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</si>
  <si>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</si>
  <si>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</si>
  <si>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</si>
  <si>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</si>
  <si>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</si>
  <si>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</si>
  <si>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</si>
  <si>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</si>
  <si>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</si>
  <si>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</si>
  <si>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</si>
  <si>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</si>
  <si>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</si>
  <si>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</si>
  <si>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</si>
  <si>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</si>
  <si>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</si>
  <si>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</si>
  <si>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</si>
  <si>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</si>
  <si>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</si>
  <si>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</si>
  <si>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</si>
  <si>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</si>
  <si>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</si>
  <si>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</si>
  <si>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</si>
  <si>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</si>
  <si>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</si>
  <si>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</si>
  <si>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</si>
  <si>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</si>
  <si>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</si>
  <si>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</si>
  <si>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</si>
  <si>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</si>
  <si>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</si>
  <si>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</si>
  <si>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</si>
  <si>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</si>
  <si>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</si>
  <si>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</si>
  <si>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</si>
  <si>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</si>
  <si>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</si>
  <si>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</si>
  <si>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</si>
  <si>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</si>
  <si>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</si>
  <si>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</si>
  <si>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</si>
  <si>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</si>
  <si>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</si>
  <si>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</si>
  <si>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</si>
  <si>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</si>
  <si>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</si>
  <si>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</si>
  <si>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</si>
  <si>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</si>
  <si>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</si>
  <si>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</si>
  <si>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</si>
  <si>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</si>
  <si>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</si>
  <si>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</si>
  <si>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</si>
  <si>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</si>
  <si>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</si>
  <si>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</si>
  <si>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</si>
  <si>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</si>
  <si>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</si>
  <si>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</si>
  <si>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</si>
  <si>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</si>
  <si>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</si>
  <si>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</si>
  <si>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</si>
  <si>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</si>
  <si>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</si>
  <si>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</si>
  <si>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</si>
  <si>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</si>
  <si>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</si>
  <si>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</si>
  <si>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</si>
  <si>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</si>
  <si>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</si>
  <si>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</si>
  <si>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</si>
  <si>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</si>
  <si>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</si>
  <si>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</si>
  <si>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</si>
  <si>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</si>
  <si>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</si>
  <si>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</si>
  <si>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</si>
  <si>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</si>
  <si>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</si>
  <si>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</si>
  <si>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</si>
  <si>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</si>
  <si>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</si>
  <si>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</si>
  <si>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</si>
  <si>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</si>
  <si>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</si>
  <si>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</si>
  <si>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</si>
  <si>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</si>
  <si>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</si>
  <si>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</si>
  <si>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</si>
  <si>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</si>
  <si>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</si>
  <si>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</si>
  <si>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</si>
  <si>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</si>
  <si>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</si>
  <si>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</si>
  <si>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</si>
  <si>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</si>
  <si>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</si>
  <si>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</si>
  <si>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</si>
  <si>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</si>
  <si>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</si>
  <si>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</si>
  <si>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</si>
  <si>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</si>
  <si>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</si>
  <si>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</si>
  <si>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</si>
  <si>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</si>
  <si>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</si>
  <si>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</si>
  <si>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</si>
  <si>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</si>
  <si>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</si>
  <si>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</si>
  <si>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</si>
  <si>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</si>
  <si>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</si>
  <si>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</si>
  <si>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</si>
  <si>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</si>
  <si>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</si>
  <si>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</si>
  <si>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</si>
  <si>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</si>
  <si>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</si>
  <si>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</si>
  <si>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</si>
  <si>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</si>
  <si>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</si>
  <si>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</si>
  <si>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</si>
  <si>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</si>
  <si>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</si>
  <si>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</si>
  <si>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</si>
  <si>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</si>
  <si>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</si>
  <si>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</si>
  <si>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</si>
  <si>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</si>
  <si>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</si>
  <si>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</si>
  <si>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</si>
  <si>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</si>
  <si>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</si>
  <si>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</si>
  <si>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</si>
  <si>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</si>
  <si>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</si>
  <si>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</si>
  <si>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</si>
  <si>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</si>
  <si>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</si>
  <si>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</si>
  <si>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</si>
  <si>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</si>
  <si>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</si>
  <si>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</si>
  <si>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</si>
  <si>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</si>
  <si>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</si>
  <si>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</si>
  <si>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</si>
  <si>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</si>
  <si>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</si>
  <si>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</si>
  <si>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</si>
  <si>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</si>
  <si>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</si>
  <si>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</si>
  <si>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</si>
  <si>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</si>
  <si>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</si>
  <si>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</si>
  <si>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</si>
  <si>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</si>
  <si>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</si>
  <si>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</si>
  <si>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</si>
  <si>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</si>
  <si>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</si>
  <si>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</si>
  <si>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</si>
  <si>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</si>
  <si>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</si>
  <si>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</si>
  <si>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</si>
  <si>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</si>
  <si>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</si>
  <si>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</si>
  <si>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</si>
  <si>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</si>
  <si>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</si>
  <si>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</si>
  <si>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</si>
  <si>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</si>
  <si>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</si>
  <si>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</si>
  <si>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</si>
  <si>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</si>
  <si>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</si>
  <si>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</si>
  <si>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</si>
  <si>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</si>
  <si>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</si>
  <si>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</si>
  <si>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</si>
  <si>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</si>
  <si>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</si>
  <si>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</si>
  <si>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</si>
  <si>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</si>
  <si>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</si>
  <si>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</si>
  <si>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</si>
  <si>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</si>
  <si>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</si>
  <si>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</si>
  <si>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</si>
  <si>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</si>
  <si>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</si>
  <si>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</si>
  <si>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</si>
  <si>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</si>
  <si>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</si>
  <si>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</si>
  <si>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</si>
  <si>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</si>
  <si>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</si>
  <si>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</si>
  <si>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</si>
  <si>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</si>
  <si>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</si>
  <si>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</si>
  <si>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</si>
  <si>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</si>
  <si>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</si>
  <si>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</si>
  <si>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</si>
  <si>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</si>
  <si>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</si>
  <si>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</si>
  <si>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</si>
  <si>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</si>
  <si>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</si>
  <si>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(All)</t>
  </si>
  <si>
    <t>Count of Transaction_ID</t>
  </si>
  <si>
    <t>Average of Expenses</t>
  </si>
  <si>
    <t>Sales Data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</si>
</sst>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0"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CC99FF"/>
      <color rgb="FFCC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excel dashboard.xlsx]pivot 1!PivotTable3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Profit by Payment Methods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65329512893983E-2"/>
          <c:y val="0.1441165342413924"/>
          <c:w val="0.94746895893027694"/>
          <c:h val="0.771894560285526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5-4121-84FE-23502C6D14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3004143"/>
        <c:axId val="1791269807"/>
      </c:barChart>
      <c:catAx>
        <c:axId val="1943004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69807"/>
        <c:crosses val="autoZero"/>
        <c:auto val="1"/>
        <c:lblAlgn val="ctr"/>
        <c:lblOffset val="100"/>
        <c:noMultiLvlLbl val="0"/>
      </c:catAx>
      <c:valAx>
        <c:axId val="1791269807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94300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excel dashboard.xlsx]pivot 2!PivotTable5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Revenue by Product Line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F-4596-A1E9-D497394CF1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26394399"/>
        <c:axId val="1791290927"/>
      </c:barChart>
      <c:catAx>
        <c:axId val="2026394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0927"/>
        <c:crosses val="autoZero"/>
        <c:auto val="1"/>
        <c:lblAlgn val="ctr"/>
        <c:lblOffset val="100"/>
        <c:noMultiLvlLbl val="0"/>
      </c:catAx>
      <c:valAx>
        <c:axId val="1791290927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202639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excel dashboard.xlsx]pivot 3!PivotTable6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Revenue/Expenses/Profit by Category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17-4D73-AF88-89D700345BD6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17-4D73-AF88-89D700345BD6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17-4D73-AF88-89D700345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175055"/>
        <c:axId val="1791359087"/>
      </c:lineChart>
      <c:catAx>
        <c:axId val="9117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359087"/>
        <c:crosses val="autoZero"/>
        <c:auto val="1"/>
        <c:lblAlgn val="ctr"/>
        <c:lblOffset val="100"/>
        <c:noMultiLvlLbl val="0"/>
      </c:catAx>
      <c:valAx>
        <c:axId val="1791359087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7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excel dashboard.xlsx]pivot 4!PivotTable7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Number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of Transactions by Region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623208506703648E-2"/>
              <c:y val="-0.218950547376368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2464170134073046E-3"/>
              <c:y val="-0.264250660626651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9348127600554789E-3"/>
              <c:y val="-0.264250660626651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9.2464170134074746E-3"/>
              <c:y val="-0.2378255945639864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2464170134073043E-2"/>
              <c:y val="-0.343525858814647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2464170134073043E-2"/>
              <c:y val="-0.343525858814647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623208506703648E-2"/>
              <c:y val="-0.218950547376368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2464170134073046E-3"/>
              <c:y val="-0.264250660626651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9348127600554789E-3"/>
              <c:y val="-0.264250660626651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9.2464170134074746E-3"/>
              <c:y val="-0.2378255945639864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2464170134073043E-2"/>
              <c:y val="-0.343525858814647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623208506703648E-2"/>
              <c:y val="-0.218950547376368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2464170134073046E-3"/>
              <c:y val="-0.264250660626651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9348127600554789E-3"/>
              <c:y val="-0.264250660626651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9.2464170134074746E-3"/>
              <c:y val="-0.2378255945639864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2326675185019359E-2"/>
          <c:y val="0.11736504341260855"/>
          <c:w val="0.86042515316653378"/>
          <c:h val="0.77241122039812971"/>
        </c:manualLayout>
      </c:layout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9.2464170134073043E-2"/>
                  <c:y val="-0.3435258588146470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19B-443D-B295-57D90C5B57D5}"/>
                </c:ext>
              </c:extLst>
            </c:dLbl>
            <c:dLbl>
              <c:idx val="1"/>
              <c:layout>
                <c:manualLayout>
                  <c:x val="4.623208506703648E-2"/>
                  <c:y val="-0.2189505473763684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9B-443D-B295-57D90C5B57D5}"/>
                </c:ext>
              </c:extLst>
            </c:dLbl>
            <c:dLbl>
              <c:idx val="2"/>
              <c:layout>
                <c:manualLayout>
                  <c:x val="9.2464170134073046E-3"/>
                  <c:y val="-0.2642506606266516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9B-443D-B295-57D90C5B57D5}"/>
                </c:ext>
              </c:extLst>
            </c:dLbl>
            <c:dLbl>
              <c:idx val="3"/>
              <c:layout>
                <c:manualLayout>
                  <c:x val="6.9348127600554789E-3"/>
                  <c:y val="-0.2642506606266516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9B-443D-B295-57D90C5B57D5}"/>
                </c:ext>
              </c:extLst>
            </c:dLbl>
            <c:dLbl>
              <c:idx val="4"/>
              <c:layout>
                <c:manualLayout>
                  <c:x val="-9.2464170134074746E-3"/>
                  <c:y val="-0.2378255945639864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19B-443D-B295-57D90C5B57D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9B-443D-B295-57D90C5B5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832495"/>
        <c:axId val="1791289967"/>
      </c:areaChart>
      <c:catAx>
        <c:axId val="1792832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89967"/>
        <c:crosses val="autoZero"/>
        <c:auto val="1"/>
        <c:lblAlgn val="ctr"/>
        <c:lblOffset val="100"/>
        <c:noMultiLvlLbl val="0"/>
      </c:catAx>
      <c:valAx>
        <c:axId val="17912899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9283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excel dashboard.xlsx]pivot 5!PivotTable8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Average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Expense for Each Category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0D-41B4-9C93-F70AC7B9A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0D-41B4-9C93-F70AC7B9A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0D-41B4-9C93-F70AC7B9A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B0D-41B4-9C93-F70AC7B9A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B0D-41B4-9C93-F70AC7B9A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B0D-41B4-9C93-F70AC7B9AD3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0D-41B4-9C93-F70AC7B9AD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excel dashboard.xlsx]pivot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Profit by Payment Methods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0-49E0-B9D5-81A3305E37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3004143"/>
        <c:axId val="1791269807"/>
      </c:barChart>
      <c:catAx>
        <c:axId val="1943004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69807"/>
        <c:crosses val="autoZero"/>
        <c:auto val="1"/>
        <c:lblAlgn val="ctr"/>
        <c:lblOffset val="100"/>
        <c:noMultiLvlLbl val="0"/>
      </c:catAx>
      <c:valAx>
        <c:axId val="1791269807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94300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excel dashboard.xlsx]pivot 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Revenue by Product Line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4-445E-AB66-99AA053E29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26394399"/>
        <c:axId val="1791290927"/>
      </c:barChart>
      <c:catAx>
        <c:axId val="2026394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0927"/>
        <c:crosses val="autoZero"/>
        <c:auto val="1"/>
        <c:lblAlgn val="ctr"/>
        <c:lblOffset val="100"/>
        <c:noMultiLvlLbl val="0"/>
      </c:catAx>
      <c:valAx>
        <c:axId val="1791290927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202639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excel dashboard.xlsx]pivot 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Revenue/Expenses/Profit by Category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A-4871-8746-7164B36095E0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6A-4871-8746-7164B36095E0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6A-4871-8746-7164B3609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175055"/>
        <c:axId val="1791359087"/>
      </c:lineChart>
      <c:catAx>
        <c:axId val="9117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359087"/>
        <c:crosses val="autoZero"/>
        <c:auto val="1"/>
        <c:lblAlgn val="ctr"/>
        <c:lblOffset val="100"/>
        <c:noMultiLvlLbl val="0"/>
      </c:catAx>
      <c:valAx>
        <c:axId val="1791359087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7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excel dashboard.xlsx]pivot 4!PivotTable7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Number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of Transactions by Region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623208506703648E-2"/>
              <c:y val="-0.218950547376368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2464170134073046E-3"/>
              <c:y val="-0.264250660626651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9348127600554789E-3"/>
              <c:y val="-0.264250660626651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9.2464170134074746E-3"/>
              <c:y val="-0.2378255945639864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2464170134073043E-2"/>
              <c:y val="-0.343525858814647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9.2464170134073043E-2"/>
                  <c:y val="-0.3435258588146470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367-4DBB-9293-4373A91F267B}"/>
                </c:ext>
              </c:extLst>
            </c:dLbl>
            <c:dLbl>
              <c:idx val="1"/>
              <c:layout>
                <c:manualLayout>
                  <c:x val="4.623208506703648E-2"/>
                  <c:y val="-0.2189505473763684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67-4DBB-9293-4373A91F267B}"/>
                </c:ext>
              </c:extLst>
            </c:dLbl>
            <c:dLbl>
              <c:idx val="2"/>
              <c:layout>
                <c:manualLayout>
                  <c:x val="9.2464170134073046E-3"/>
                  <c:y val="-0.2642506606266516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67-4DBB-9293-4373A91F267B}"/>
                </c:ext>
              </c:extLst>
            </c:dLbl>
            <c:dLbl>
              <c:idx val="3"/>
              <c:layout>
                <c:manualLayout>
                  <c:x val="6.9348127600554789E-3"/>
                  <c:y val="-0.2642506606266516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367-4DBB-9293-4373A91F267B}"/>
                </c:ext>
              </c:extLst>
            </c:dLbl>
            <c:dLbl>
              <c:idx val="4"/>
              <c:layout>
                <c:manualLayout>
                  <c:x val="-9.2464170134074746E-3"/>
                  <c:y val="-0.2378255945639864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67-4DBB-9293-4373A91F267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7-4DBB-9293-4373A91F2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832495"/>
        <c:axId val="1791289967"/>
      </c:areaChart>
      <c:catAx>
        <c:axId val="1792832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89967"/>
        <c:crosses val="autoZero"/>
        <c:auto val="1"/>
        <c:lblAlgn val="ctr"/>
        <c:lblOffset val="100"/>
        <c:noMultiLvlLbl val="0"/>
      </c:catAx>
      <c:valAx>
        <c:axId val="17912899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9283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excel dashboard.xlsx]pivot 5!PivotTable8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Average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Expense for Each Category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1-4BF3-9C49-4502EE0DBEE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181611</xdr:colOff>
      <xdr:row>5</xdr:row>
      <xdr:rowOff>49529</xdr:rowOff>
    </xdr:from>
    <xdr:to>
      <xdr:col>8</xdr:col>
      <xdr:colOff>74084</xdr:colOff>
      <xdr:row>23</xdr:row>
      <xdr:rowOff>111336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5D9C36-81E8-4797-B1C5-8811E70F3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179915</xdr:colOff>
      <xdr:row>5</xdr:row>
      <xdr:rowOff>63501</xdr:rowOff>
    </xdr:from>
    <xdr:to>
      <xdr:col>16</xdr:col>
      <xdr:colOff>243417</xdr:colOff>
      <xdr:row>23</xdr:row>
      <xdr:rowOff>148166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9B2F02-DAE9-48EF-97D6-87B872D29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179916</xdr:colOff>
      <xdr:row>24</xdr:row>
      <xdr:rowOff>52916</xdr:rowOff>
    </xdr:from>
    <xdr:to>
      <xdr:col>13</xdr:col>
      <xdr:colOff>243417</xdr:colOff>
      <xdr:row>43</xdr:row>
      <xdr:rowOff>52916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27C0D3-3892-4EFE-B290-7A8A5B9B2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359834</xdr:colOff>
      <xdr:row>5</xdr:row>
      <xdr:rowOff>63501</xdr:rowOff>
    </xdr:from>
    <xdr:to>
      <xdr:col>24</xdr:col>
      <xdr:colOff>497417</xdr:colOff>
      <xdr:row>23</xdr:row>
      <xdr:rowOff>148167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F97F3D-E23C-4593-AFA8-F051073ED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381000</xdr:colOff>
      <xdr:row>24</xdr:row>
      <xdr:rowOff>52917</xdr:rowOff>
    </xdr:from>
    <xdr:to>
      <xdr:col>24</xdr:col>
      <xdr:colOff>483023</xdr:colOff>
      <xdr:row>43</xdr:row>
      <xdr:rowOff>67310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29C820-7F82-4A8C-B097-D1987C04A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2</xdr:row>
      <xdr:rowOff>144780</xdr:rowOff>
    </xdr:from>
    <xdr:to>
      <xdr:col>12</xdr:col>
      <xdr:colOff>190500</xdr:colOff>
      <xdr:row>21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3BFA3-9DDD-F4B2-F89B-1A1588ACC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5</xdr:row>
      <xdr:rowOff>72390</xdr:rowOff>
    </xdr:from>
    <xdr:to>
      <xdr:col>12</xdr:col>
      <xdr:colOff>251460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6345D6-D8F4-3C28-E137-D87B87069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4</xdr:row>
      <xdr:rowOff>26670</xdr:rowOff>
    </xdr:from>
    <xdr:to>
      <xdr:col>13</xdr:col>
      <xdr:colOff>396240</xdr:colOff>
      <xdr:row>22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0573E6-73A9-565F-A2DB-D983B169E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4</xdr:row>
      <xdr:rowOff>110490</xdr:rowOff>
    </xdr:from>
    <xdr:to>
      <xdr:col>13</xdr:col>
      <xdr:colOff>144780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3DFC93-2FB8-B6D1-E063-C0610159D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274320</xdr:colOff>
      <xdr:row>3</xdr:row>
      <xdr:rowOff>3810</xdr:rowOff>
    </xdr:from>
    <xdr:to>
      <xdr:col>12</xdr:col>
      <xdr:colOff>22860</xdr:colOff>
      <xdr:row>21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3233B7-F11B-A33F-BE22-5A14BFF1A5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prakash patel" refreshedDate="46311.006462152778" createdVersion="8" refreshedVersion="8" minRefreshableVersion="3" recordCount="2000" xr:uid="{9C59E563-81BC-4F94-B7CC-8D78211112DB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6C862-761B-4273-AE3C-CC58BABD8BD5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8:C49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showAll="0" defaultSubtotal="0">
      <items count="4">
        <item x="1"/>
        <item x="0"/>
        <item x="2"/>
        <item x="3"/>
      </items>
    </pivotField>
    <pivotField compact="0" numFmtId="9" outline="0" showAll="0" defaultSubtotal="0"/>
  </pivotFields>
  <rowFields count="2">
    <field x="6"/>
    <field x="8"/>
  </rowFields>
  <rowItems count="31">
    <i>
      <x v="4"/>
      <x/>
    </i>
    <i r="1">
      <x v="1"/>
    </i>
    <i r="1">
      <x v="2"/>
    </i>
    <i r="1">
      <x v="3"/>
    </i>
    <i r="1">
      <x v="4"/>
    </i>
    <i t="default">
      <x v="4"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1" numFmtId="164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D518A-3DBF-4C0B-8845-EBEF49D8DF4F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h="1" x="1"/>
        <item x="2"/>
        <item x="3"/>
        <item h="1" x="0"/>
        <item t="default"/>
      </items>
    </pivotField>
    <pivotField showAll="0"/>
    <pivotField numFmtId="9" showAll="0"/>
  </pivotFields>
  <rowFields count="1">
    <field x="6"/>
  </rowFields>
  <rowItems count="6">
    <i>
      <x v="1"/>
    </i>
    <i>
      <x v="4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2" hier="-1"/>
  </pageFields>
  <dataFields count="1">
    <dataField name="Total Profit" fld="4" baseField="6" baseItem="1" numFmtId="164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94680-0CBC-4A6D-A0A0-96E4F7565293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82B21-D366-4A5C-9379-2AA63DEB846A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6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6614A-BA18-4CEB-90A8-132934C3C91E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5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548F1-115A-48F5-BE93-C048570D68DE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EEE7E-186F-4CEB-AABE-7EAA40CB8E2D}" name="PivotTable8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4"/>
  </dataFields>
  <formats count="1">
    <format dxfId="1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60C1-E3A8-48B0-BB21-F177DEB050C4}">
  <dimension ref="A1:G49"/>
  <sheetViews>
    <sheetView zoomScaleNormal="100" workbookViewId="0">
      <selection activeCell="G16" sqref="G16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4.77734375" customWidth="1"/>
    <col min="4" max="4" width="8.88671875" bestFit="1" customWidth="1"/>
    <col min="5" max="5" width="10.44140625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21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40</v>
      </c>
      <c r="B6" s="5">
        <v>102510</v>
      </c>
      <c r="C6" s="5">
        <v>56831</v>
      </c>
      <c r="D6" s="5">
        <v>65083</v>
      </c>
      <c r="E6" s="5">
        <v>80539</v>
      </c>
      <c r="F6" s="5">
        <v>53243</v>
      </c>
      <c r="G6" s="5">
        <v>358206</v>
      </c>
    </row>
    <row r="7" spans="1:7" x14ac:dyDescent="0.3">
      <c r="A7" s="4" t="s">
        <v>30</v>
      </c>
      <c r="B7" s="5">
        <v>44015</v>
      </c>
      <c r="C7" s="5">
        <v>41463</v>
      </c>
      <c r="D7" s="5">
        <v>27723</v>
      </c>
      <c r="E7" s="5">
        <v>180559</v>
      </c>
      <c r="F7" s="5">
        <v>88314</v>
      </c>
      <c r="G7" s="5">
        <v>382074</v>
      </c>
    </row>
    <row r="8" spans="1:7" x14ac:dyDescent="0.3">
      <c r="A8" s="4" t="s">
        <v>14</v>
      </c>
      <c r="B8" s="5">
        <v>19048</v>
      </c>
      <c r="C8" s="5">
        <v>53473</v>
      </c>
      <c r="D8" s="5">
        <v>48252</v>
      </c>
      <c r="E8" s="5">
        <v>294630</v>
      </c>
      <c r="F8" s="5">
        <v>96392</v>
      </c>
      <c r="G8" s="5">
        <v>511795</v>
      </c>
    </row>
    <row r="9" spans="1:7" x14ac:dyDescent="0.3">
      <c r="A9" s="4" t="s">
        <v>26</v>
      </c>
      <c r="B9" s="5">
        <v>62844</v>
      </c>
      <c r="C9" s="5">
        <v>65592</v>
      </c>
      <c r="D9" s="5">
        <v>72675</v>
      </c>
      <c r="E9" s="5">
        <v>194704</v>
      </c>
      <c r="F9" s="5">
        <v>121517</v>
      </c>
      <c r="G9" s="5">
        <v>517332</v>
      </c>
    </row>
    <row r="10" spans="1:7" x14ac:dyDescent="0.3">
      <c r="A10" s="4" t="s">
        <v>36</v>
      </c>
      <c r="B10" s="5">
        <v>133701</v>
      </c>
      <c r="C10" s="5">
        <v>175082</v>
      </c>
      <c r="D10" s="5">
        <v>150915</v>
      </c>
      <c r="E10" s="5">
        <v>524256</v>
      </c>
      <c r="F10" s="5">
        <v>144159</v>
      </c>
      <c r="G10" s="5">
        <v>1128113</v>
      </c>
    </row>
    <row r="11" spans="1:7" x14ac:dyDescent="0.3">
      <c r="A11" s="4" t="s">
        <v>2037</v>
      </c>
      <c r="B11" s="5">
        <v>362118</v>
      </c>
      <c r="C11" s="5">
        <v>392441</v>
      </c>
      <c r="D11" s="5">
        <v>364648</v>
      </c>
      <c r="E11" s="5">
        <v>1274688</v>
      </c>
      <c r="F11" s="5">
        <v>503625</v>
      </c>
      <c r="G11" s="5">
        <v>2897520</v>
      </c>
    </row>
    <row r="16" spans="1:7" x14ac:dyDescent="0.3">
      <c r="A16" s="3" t="s">
        <v>10</v>
      </c>
      <c r="B16" t="s">
        <v>2050</v>
      </c>
    </row>
    <row r="18" spans="1:3" x14ac:dyDescent="0.3">
      <c r="A18" s="3" t="s">
        <v>6</v>
      </c>
      <c r="B18" s="3" t="s">
        <v>8</v>
      </c>
      <c r="C18" t="s">
        <v>2038</v>
      </c>
    </row>
    <row r="19" spans="1:3" x14ac:dyDescent="0.3">
      <c r="A19" t="s">
        <v>30</v>
      </c>
      <c r="B19" t="s">
        <v>41</v>
      </c>
      <c r="C19" s="5">
        <v>391346</v>
      </c>
    </row>
    <row r="20" spans="1:3" x14ac:dyDescent="0.3">
      <c r="B20" t="s">
        <v>27</v>
      </c>
      <c r="C20" s="5">
        <v>255365</v>
      </c>
    </row>
    <row r="21" spans="1:3" x14ac:dyDescent="0.3">
      <c r="B21" t="s">
        <v>22</v>
      </c>
      <c r="C21" s="5">
        <v>254313</v>
      </c>
    </row>
    <row r="22" spans="1:3" x14ac:dyDescent="0.3">
      <c r="B22" t="s">
        <v>31</v>
      </c>
      <c r="C22" s="5">
        <v>935258</v>
      </c>
    </row>
    <row r="23" spans="1:3" x14ac:dyDescent="0.3">
      <c r="B23" t="s">
        <v>16</v>
      </c>
      <c r="C23" s="5">
        <v>312705</v>
      </c>
    </row>
    <row r="24" spans="1:3" x14ac:dyDescent="0.3">
      <c r="A24" t="s">
        <v>2040</v>
      </c>
      <c r="C24" s="5">
        <v>2148987</v>
      </c>
    </row>
    <row r="25" spans="1:3" x14ac:dyDescent="0.3">
      <c r="A25" t="s">
        <v>40</v>
      </c>
      <c r="B25" t="s">
        <v>41</v>
      </c>
      <c r="C25" s="5">
        <v>434212</v>
      </c>
    </row>
    <row r="26" spans="1:3" x14ac:dyDescent="0.3">
      <c r="B26" t="s">
        <v>27</v>
      </c>
      <c r="C26" s="5">
        <v>430504</v>
      </c>
    </row>
    <row r="27" spans="1:3" x14ac:dyDescent="0.3">
      <c r="B27" t="s">
        <v>22</v>
      </c>
      <c r="C27" s="5">
        <v>242044</v>
      </c>
    </row>
    <row r="28" spans="1:3" x14ac:dyDescent="0.3">
      <c r="B28" t="s">
        <v>31</v>
      </c>
      <c r="C28" s="5">
        <v>885268</v>
      </c>
    </row>
    <row r="29" spans="1:3" x14ac:dyDescent="0.3">
      <c r="B29" t="s">
        <v>16</v>
      </c>
      <c r="C29" s="5">
        <v>365211</v>
      </c>
    </row>
    <row r="30" spans="1:3" x14ac:dyDescent="0.3">
      <c r="A30" t="s">
        <v>2041</v>
      </c>
      <c r="C30" s="5">
        <v>2357239</v>
      </c>
    </row>
    <row r="31" spans="1:3" x14ac:dyDescent="0.3">
      <c r="A31" t="s">
        <v>14</v>
      </c>
      <c r="B31" t="s">
        <v>41</v>
      </c>
      <c r="C31" s="5">
        <v>623799</v>
      </c>
    </row>
    <row r="32" spans="1:3" x14ac:dyDescent="0.3">
      <c r="B32" t="s">
        <v>27</v>
      </c>
      <c r="C32" s="5">
        <v>395911</v>
      </c>
    </row>
    <row r="33" spans="1:3" x14ac:dyDescent="0.3">
      <c r="B33" t="s">
        <v>22</v>
      </c>
      <c r="C33" s="5">
        <v>237715</v>
      </c>
    </row>
    <row r="34" spans="1:3" x14ac:dyDescent="0.3">
      <c r="B34" t="s">
        <v>31</v>
      </c>
      <c r="C34" s="5">
        <v>1501348</v>
      </c>
    </row>
    <row r="35" spans="1:3" x14ac:dyDescent="0.3">
      <c r="B35" t="s">
        <v>16</v>
      </c>
      <c r="C35" s="5">
        <v>560509</v>
      </c>
    </row>
    <row r="36" spans="1:3" x14ac:dyDescent="0.3">
      <c r="A36" t="s">
        <v>2042</v>
      </c>
      <c r="C36" s="5">
        <v>3319282</v>
      </c>
    </row>
    <row r="37" spans="1:3" x14ac:dyDescent="0.3">
      <c r="A37" t="s">
        <v>26</v>
      </c>
      <c r="B37" t="s">
        <v>41</v>
      </c>
      <c r="C37" s="5">
        <v>405384</v>
      </c>
    </row>
    <row r="38" spans="1:3" x14ac:dyDescent="0.3">
      <c r="B38" t="s">
        <v>27</v>
      </c>
      <c r="C38" s="5">
        <v>724635</v>
      </c>
    </row>
    <row r="39" spans="1:3" x14ac:dyDescent="0.3">
      <c r="B39" t="s">
        <v>22</v>
      </c>
      <c r="C39" s="5">
        <v>323831</v>
      </c>
    </row>
    <row r="40" spans="1:3" x14ac:dyDescent="0.3">
      <c r="B40" t="s">
        <v>31</v>
      </c>
      <c r="C40" s="5">
        <v>1754161</v>
      </c>
    </row>
    <row r="41" spans="1:3" x14ac:dyDescent="0.3">
      <c r="B41" t="s">
        <v>16</v>
      </c>
      <c r="C41" s="5">
        <v>708873</v>
      </c>
    </row>
    <row r="42" spans="1:3" x14ac:dyDescent="0.3">
      <c r="A42" t="s">
        <v>2043</v>
      </c>
      <c r="C42" s="5">
        <v>3916884</v>
      </c>
    </row>
    <row r="43" spans="1:3" x14ac:dyDescent="0.3">
      <c r="A43" t="s">
        <v>36</v>
      </c>
      <c r="B43" t="s">
        <v>41</v>
      </c>
      <c r="C43" s="5">
        <v>1069720</v>
      </c>
    </row>
    <row r="44" spans="1:3" x14ac:dyDescent="0.3">
      <c r="B44" t="s">
        <v>27</v>
      </c>
      <c r="C44" s="5">
        <v>1976228</v>
      </c>
    </row>
    <row r="45" spans="1:3" x14ac:dyDescent="0.3">
      <c r="B45" t="s">
        <v>22</v>
      </c>
      <c r="C45" s="5">
        <v>1113987</v>
      </c>
    </row>
    <row r="46" spans="1:3" x14ac:dyDescent="0.3">
      <c r="B46" t="s">
        <v>31</v>
      </c>
      <c r="C46" s="5">
        <v>3472937</v>
      </c>
    </row>
    <row r="47" spans="1:3" x14ac:dyDescent="0.3">
      <c r="B47" t="s">
        <v>16</v>
      </c>
      <c r="C47" s="5">
        <v>1118265</v>
      </c>
    </row>
    <row r="48" spans="1:3" x14ac:dyDescent="0.3">
      <c r="A48" t="s">
        <v>2044</v>
      </c>
      <c r="C48" s="5">
        <v>8751137</v>
      </c>
    </row>
    <row r="49" spans="1:3" x14ac:dyDescent="0.3">
      <c r="A49" t="s">
        <v>2037</v>
      </c>
      <c r="C49" s="5">
        <v>20493529</v>
      </c>
    </row>
  </sheetData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A129-86A1-43E5-A82F-87ED2D852038}">
  <dimension ref="A1:Y4"/>
  <sheetViews>
    <sheetView showGridLines="0" tabSelected="1" zoomScale="72" zoomScaleNormal="72" workbookViewId="0">
      <selection activeCell="AA2" sqref="AA2"/>
    </sheetView>
  </sheetViews>
  <sheetFormatPr defaultRowHeight="14.4" x14ac:dyDescent="0.3"/>
  <sheetData>
    <row r="1" spans="1:25" x14ac:dyDescent="0.3">
      <c r="A1" s="7" t="s">
        <v>2053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</sheetData>
  <mergeCells count="1">
    <mergeCell ref="A1:Y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A689-AB68-44D3-8E53-C1E625582E09}">
  <dimension ref="A3:B8"/>
  <sheetViews>
    <sheetView workbookViewId="0">
      <selection activeCell="K26" sqref="K26"/>
    </sheetView>
  </sheetViews>
  <sheetFormatPr defaultRowHeight="14.4" x14ac:dyDescent="0.3"/>
  <cols>
    <col min="1" max="1" width="12.5546875" bestFit="1" customWidth="1"/>
    <col min="2" max="2" width="15.77734375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03B4-5253-4337-8828-768541380ACC}">
  <dimension ref="A3:B9"/>
  <sheetViews>
    <sheetView workbookViewId="0">
      <selection activeCell="F25" sqref="F25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2046</v>
      </c>
      <c r="B3" t="s">
        <v>2048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F233-9B06-458F-838B-BC44AA8E31EA}">
  <dimension ref="A3:D9"/>
  <sheetViews>
    <sheetView workbookViewId="0">
      <selection activeCell="O18" sqref="O18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109375" bestFit="1" customWidth="1"/>
  </cols>
  <sheetData>
    <row r="3" spans="1:4" x14ac:dyDescent="0.3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CB75-BAB9-4C48-8C85-F8C7CB10C25E}">
  <dimension ref="A3:B9"/>
  <sheetViews>
    <sheetView workbookViewId="0">
      <selection activeCell="B19" sqref="B19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2051</v>
      </c>
    </row>
    <row r="4" spans="1:2" x14ac:dyDescent="0.3">
      <c r="A4" s="4" t="s">
        <v>36</v>
      </c>
      <c r="B4" s="6">
        <v>818</v>
      </c>
    </row>
    <row r="5" spans="1:2" x14ac:dyDescent="0.3">
      <c r="A5" s="4" t="s">
        <v>40</v>
      </c>
      <c r="B5" s="6">
        <v>258</v>
      </c>
    </row>
    <row r="6" spans="1:2" x14ac:dyDescent="0.3">
      <c r="A6" s="4" t="s">
        <v>14</v>
      </c>
      <c r="B6" s="6">
        <v>314</v>
      </c>
    </row>
    <row r="7" spans="1:2" x14ac:dyDescent="0.3">
      <c r="A7" s="4" t="s">
        <v>26</v>
      </c>
      <c r="B7" s="6">
        <v>411</v>
      </c>
    </row>
    <row r="8" spans="1:2" x14ac:dyDescent="0.3">
      <c r="A8" s="4" t="s">
        <v>30</v>
      </c>
      <c r="B8" s="6">
        <v>199</v>
      </c>
    </row>
    <row r="9" spans="1:2" x14ac:dyDescent="0.3">
      <c r="A9" s="4" t="s">
        <v>2037</v>
      </c>
      <c r="B9" s="6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A7BDA-C4C2-4FCE-9785-04B7F997228C}">
  <dimension ref="A3:B10"/>
  <sheetViews>
    <sheetView workbookViewId="0">
      <selection activeCell="M17" sqref="M17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t="s">
        <v>2052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/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Dashboard</vt:lpstr>
      <vt:lpstr>pivot 1</vt:lpstr>
      <vt:lpstr>pivot 2</vt:lpstr>
      <vt:lpstr>pivot 3</vt:lpstr>
      <vt:lpstr>pivot 4</vt:lpstr>
      <vt:lpstr>pivot 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Jaiprakash patel</cp:lastModifiedBy>
  <dcterms:created xsi:type="dcterms:W3CDTF">2015-06-05T18:17:20Z</dcterms:created>
  <dcterms:modified xsi:type="dcterms:W3CDTF">2026-10-18T04:55:59Z</dcterms:modified>
</cp:coreProperties>
</file>